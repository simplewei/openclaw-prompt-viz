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窗帘报价" state="visible" r:id="rId4"/>
  </sheets>
  <calcPr calcId="171027"/>
</workbook>
</file>

<file path=xl/sharedStrings.xml><?xml version="1.0" encoding="utf-8"?>
<sst xmlns="http://schemas.openxmlformats.org/spreadsheetml/2006/main" count="39" uniqueCount="39">
  <si>
    <t>窗帘报价计算表</t>
  </si>
  <si>
    <t>输入参数</t>
  </si>
  <si>
    <t>纱帘单价（元/米）</t>
  </si>
  <si>
    <t>布帘单价（元/米）</t>
  </si>
  <si>
    <t>轨道单价（元/米）</t>
  </si>
  <si>
    <t>电机价格（元/个）</t>
  </si>
  <si>
    <t>罗马帘平方单价（元/平方米）</t>
  </si>
  <si>
    <t>日夜蜂巢帘平方单价（元/平方米）</t>
  </si>
  <si>
    <t>百叶帘平方单价（元/平方米）</t>
  </si>
  <si>
    <t>尺寸固定值（mm）</t>
  </si>
  <si>
    <t>客厅宽度</t>
  </si>
  <si>
    <t>客厅高度</t>
  </si>
  <si>
    <t>主卧飘窗内宽度</t>
  </si>
  <si>
    <t>主卧飘窗内高度</t>
  </si>
  <si>
    <t>主卧外围宽度</t>
  </si>
  <si>
    <t>主卧外围高度</t>
  </si>
  <si>
    <t>次卧宽度</t>
  </si>
  <si>
    <t>次卧高度</t>
  </si>
  <si>
    <t>儿童房飘窗内宽度</t>
  </si>
  <si>
    <t>儿童房飘窗内高度</t>
  </si>
  <si>
    <t>书房宽度</t>
  </si>
  <si>
    <t>书房高度</t>
  </si>
  <si>
    <t>卫生间1宽度</t>
  </si>
  <si>
    <t>卫生间1高度</t>
  </si>
  <si>
    <t>卫生间2宽度</t>
  </si>
  <si>
    <t>卫生间2高度</t>
  </si>
  <si>
    <t>各房间价格</t>
  </si>
  <si>
    <t>客厅价格</t>
  </si>
  <si>
    <t>主卧价格</t>
  </si>
  <si>
    <t>次卧价格</t>
  </si>
  <si>
    <t>儿童房价格</t>
  </si>
  <si>
    <t>书房价格</t>
  </si>
  <si>
    <t>卫生间价格</t>
  </si>
  <si>
    <t>总价</t>
  </si>
  <si>
    <t>备注：</t>
  </si>
  <si>
    <t>1. 所有长度单位：mm，转换米需除以1000</t>
  </si>
  <si>
    <t>2. 面积计算：mm² 转换为 m² 需除以1,000,000</t>
  </si>
  <si>
    <t>3. 轨道单价按每米计算，布料按每米或每平方米分别计算</t>
  </si>
  <si>
    <t>4. 每个房间均包含一个电机（卫生间除外）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</si>
</sst>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4" spans="1:2" x14ac:dyDescent="0.25">
      <c r="A4" t="s">
        <v>2</v>
      </c>
      <c r="B4" s="3">
        <v>0</v>
      </c>
    </row>
    <row r="5" spans="1:2" x14ac:dyDescent="0.25">
      <c r="A5" t="s">
        <v>3</v>
      </c>
      <c r="B5" s="3">
        <v>0</v>
      </c>
    </row>
    <row r="6" spans="1:2" x14ac:dyDescent="0.25">
      <c r="A6" t="s">
        <v>4</v>
      </c>
      <c r="B6" s="3">
        <v>0</v>
      </c>
    </row>
    <row r="7" spans="1:2" x14ac:dyDescent="0.25">
      <c r="A7" t="s">
        <v>5</v>
      </c>
      <c r="B7" s="3">
        <v>0</v>
      </c>
    </row>
    <row r="8" spans="1:2" x14ac:dyDescent="0.25">
      <c r="A8" t="s">
        <v>6</v>
      </c>
      <c r="B8" s="3">
        <v>0</v>
      </c>
    </row>
    <row r="9" spans="1:2" x14ac:dyDescent="0.25">
      <c r="A9" t="s">
        <v>7</v>
      </c>
      <c r="B9" s="3">
        <v>0</v>
      </c>
    </row>
    <row r="10" spans="1:2" x14ac:dyDescent="0.25">
      <c r="A10" t="s">
        <v>8</v>
      </c>
      <c r="B10" s="3">
        <v>0</v>
      </c>
    </row>
    <row r="12" spans="1:1" x14ac:dyDescent="0.25">
      <c r="A12" s="2" t="s">
        <v>9</v>
      </c>
    </row>
    <row r="13" spans="1:2" x14ac:dyDescent="0.25">
      <c r="A13" t="s">
        <v>10</v>
      </c>
      <c r="B13">
        <v>4200</v>
      </c>
    </row>
    <row r="14" spans="1:2" x14ac:dyDescent="0.25">
      <c r="A14" t="s">
        <v>11</v>
      </c>
      <c r="B14">
        <v>2700</v>
      </c>
    </row>
    <row r="15" spans="1:2" x14ac:dyDescent="0.25">
      <c r="A15" t="s">
        <v>12</v>
      </c>
      <c r="B15">
        <v>2700</v>
      </c>
    </row>
    <row r="16" spans="1:2" x14ac:dyDescent="0.25">
      <c r="A16" t="s">
        <v>13</v>
      </c>
      <c r="B16">
        <v>2100</v>
      </c>
    </row>
    <row r="17" spans="1:2" x14ac:dyDescent="0.25">
      <c r="A17" t="s">
        <v>14</v>
      </c>
      <c r="B17">
        <v>3500</v>
      </c>
    </row>
    <row r="18" spans="1:2" x14ac:dyDescent="0.25">
      <c r="A18" t="s">
        <v>15</v>
      </c>
      <c r="B18">
        <v>2700</v>
      </c>
    </row>
    <row r="19" spans="1:2" x14ac:dyDescent="0.25">
      <c r="A19" t="s">
        <v>16</v>
      </c>
      <c r="B19">
        <v>3200</v>
      </c>
    </row>
    <row r="20" spans="1:2" x14ac:dyDescent="0.25">
      <c r="A20" t="s">
        <v>17</v>
      </c>
      <c r="B20">
        <v>2700</v>
      </c>
    </row>
    <row r="21" spans="1:2" x14ac:dyDescent="0.25">
      <c r="A21" t="s">
        <v>18</v>
      </c>
      <c r="B21">
        <v>1950</v>
      </c>
    </row>
    <row r="22" spans="1:2" x14ac:dyDescent="0.25">
      <c r="A22" t="s">
        <v>19</v>
      </c>
      <c r="B22">
        <v>2100</v>
      </c>
    </row>
    <row r="23" spans="1:2" x14ac:dyDescent="0.25">
      <c r="A23" t="s">
        <v>20</v>
      </c>
      <c r="B23">
        <v>2500</v>
      </c>
    </row>
    <row r="24" spans="1:2" x14ac:dyDescent="0.25">
      <c r="A24" t="s">
        <v>21</v>
      </c>
      <c r="B24">
        <v>2700</v>
      </c>
    </row>
    <row r="25" spans="1:2" x14ac:dyDescent="0.25">
      <c r="A25" t="s">
        <v>22</v>
      </c>
      <c r="B25">
        <v>800</v>
      </c>
    </row>
    <row r="26" spans="1:2" x14ac:dyDescent="0.25">
      <c r="A26" t="s">
        <v>23</v>
      </c>
      <c r="B26">
        <v>2500</v>
      </c>
    </row>
    <row r="27" spans="1:2" x14ac:dyDescent="0.25">
      <c r="A27" t="s">
        <v>24</v>
      </c>
      <c r="B27">
        <v>900</v>
      </c>
    </row>
    <row r="28" spans="1:2" x14ac:dyDescent="0.25">
      <c r="A28" t="s">
        <v>25</v>
      </c>
      <c r="B28">
        <v>1200</v>
      </c>
    </row>
    <row r="30" spans="1:1" x14ac:dyDescent="0.25">
      <c r="A30" s="2" t="s">
        <v>26</v>
      </c>
    </row>
    <row r="31" spans="1:2" x14ac:dyDescent="0.25">
      <c r="A31" t="s">
        <v>27</v>
      </c>
      <c r="B31" s="3">
        <f>B$4*(B13/1000) + B$6*(B13/1000) + B$7</f>
        <v>0</v>
      </c>
    </row>
    <row r="32" spans="1:2" x14ac:dyDescent="0.25">
      <c r="A32" t="s">
        <v>28</v>
      </c>
      <c r="B32" s="3">
        <f>B$8*(B15/1000)*(B16/1000) + B$6*(B15/1000) + B$7 + B$5*(B17/1000)</f>
        <v>0</v>
      </c>
    </row>
    <row r="33" spans="1:2" x14ac:dyDescent="0.25">
      <c r="A33" t="s">
        <v>29</v>
      </c>
      <c r="B33" s="3">
        <f>(B$4+B$5)*(B19/1000) + B$6*(B19/1000) + B$7</f>
        <v>0</v>
      </c>
    </row>
    <row r="34" spans="1:2" x14ac:dyDescent="0.25">
      <c r="A34" t="s">
        <v>30</v>
      </c>
      <c r="B34" s="3">
        <f>B$9*(B21/1000)*(B22/1000) + B$6*(B21/1000) + B$7</f>
        <v>0</v>
      </c>
    </row>
    <row r="35" spans="1:2" x14ac:dyDescent="0.25">
      <c r="A35" t="s">
        <v>31</v>
      </c>
      <c r="B35" s="3">
        <f>B$4*(B23/1000) + B$6*(B23/1000) + B$7</f>
        <v>0</v>
      </c>
    </row>
    <row r="36" spans="1:2" x14ac:dyDescent="0.25">
      <c r="A36" t="s">
        <v>32</v>
      </c>
      <c r="B36" s="3">
        <f>((B25*B26 + B27*B28)/1000000) * B$10</f>
        <v>0</v>
      </c>
    </row>
    <row r="38" spans="1:2" x14ac:dyDescent="0.25">
      <c r="A38" s="2" t="s">
        <v>33</v>
      </c>
      <c r="B38" s="4">
        <f>SUM(B31:B36)</f>
        <v>0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窗帘报价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2026-03-13T02:16:48Z</dcterms:created>
  <dcterms:modified xsi:type="dcterms:W3CDTF">2026-03-13T02:16:48Z</dcterms:modified>
</cp:coreProperties>
</file>